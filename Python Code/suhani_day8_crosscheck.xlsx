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s\Indumaa PS 1\F-O--BACKTESTER-\"/>
    </mc:Choice>
  </mc:AlternateContent>
  <xr:revisionPtr revIDLastSave="0" documentId="13_ncr:1_{23A2D4AA-0402-4A0A-B3EE-860E3024CE12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Trade Data &amp; Calculations" sheetId="1" r:id="rId1"/>
    <sheet name="Summary &amp; Cross-Chec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1" i="2" l="1"/>
  <c r="D8" i="2"/>
  <c r="D7" i="2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H2" i="1"/>
  <c r="F7" i="2" l="1"/>
  <c r="F11" i="2"/>
  <c r="F8" i="2"/>
  <c r="I2" i="1"/>
  <c r="H3" i="1"/>
  <c r="J2" i="1"/>
  <c r="D10" i="2"/>
  <c r="F10" i="2" s="1"/>
  <c r="H4" i="1" l="1"/>
  <c r="I3" i="1"/>
  <c r="I4" i="1" s="1"/>
  <c r="H5" i="1" l="1"/>
  <c r="J4" i="1"/>
  <c r="J3" i="1"/>
  <c r="I5" i="1" l="1"/>
  <c r="I6" i="1" s="1"/>
  <c r="H6" i="1"/>
  <c r="J6" i="1" l="1"/>
  <c r="H7" i="1"/>
  <c r="J5" i="1"/>
  <c r="I7" i="1" l="1"/>
  <c r="I8" i="1" s="1"/>
  <c r="H8" i="1"/>
  <c r="J8" i="1" l="1"/>
  <c r="H9" i="1"/>
  <c r="J7" i="1"/>
  <c r="I9" i="1" l="1"/>
  <c r="I10" i="1" s="1"/>
  <c r="H10" i="1"/>
  <c r="H11" i="1" l="1"/>
  <c r="J10" i="1"/>
  <c r="J9" i="1"/>
  <c r="I11" i="1" l="1"/>
  <c r="H12" i="1"/>
  <c r="H13" i="1" l="1"/>
  <c r="J11" i="1"/>
  <c r="I12" i="1"/>
  <c r="I13" i="1" s="1"/>
  <c r="J13" i="1" l="1"/>
  <c r="H14" i="1"/>
  <c r="J12" i="1"/>
  <c r="I14" i="1" l="1"/>
  <c r="I15" i="1" s="1"/>
  <c r="H15" i="1"/>
  <c r="J15" i="1" l="1"/>
  <c r="H16" i="1"/>
  <c r="J14" i="1"/>
  <c r="I16" i="1" l="1"/>
  <c r="I17" i="1" s="1"/>
  <c r="H17" i="1"/>
  <c r="J17" i="1" l="1"/>
  <c r="H18" i="1"/>
  <c r="J16" i="1"/>
  <c r="I18" i="1" l="1"/>
  <c r="I19" i="1" s="1"/>
  <c r="H19" i="1"/>
  <c r="J19" i="1" l="1"/>
  <c r="H20" i="1"/>
  <c r="J18" i="1"/>
  <c r="I20" i="1" l="1"/>
  <c r="I21" i="1" s="1"/>
  <c r="H21" i="1"/>
  <c r="J21" i="1" l="1"/>
  <c r="H22" i="1"/>
  <c r="J20" i="1"/>
  <c r="I22" i="1" l="1"/>
  <c r="I23" i="1" s="1"/>
  <c r="H23" i="1"/>
  <c r="J23" i="1" l="1"/>
  <c r="H24" i="1"/>
  <c r="J22" i="1"/>
  <c r="I24" i="1" l="1"/>
  <c r="I25" i="1" s="1"/>
  <c r="H25" i="1"/>
  <c r="J25" i="1" l="1"/>
  <c r="H26" i="1"/>
  <c r="J24" i="1"/>
  <c r="I26" i="1" l="1"/>
  <c r="I27" i="1" s="1"/>
  <c r="H27" i="1"/>
  <c r="J27" i="1" l="1"/>
  <c r="H28" i="1"/>
  <c r="J26" i="1"/>
  <c r="I28" i="1" l="1"/>
  <c r="I29" i="1" s="1"/>
  <c r="H29" i="1"/>
  <c r="J29" i="1" l="1"/>
  <c r="H30" i="1"/>
  <c r="J28" i="1"/>
  <c r="I30" i="1" l="1"/>
  <c r="I31" i="1" s="1"/>
  <c r="H31" i="1"/>
  <c r="H32" i="1" l="1"/>
  <c r="J31" i="1"/>
  <c r="J30" i="1"/>
  <c r="I32" i="1" l="1"/>
  <c r="I33" i="1" s="1"/>
  <c r="H33" i="1"/>
  <c r="J33" i="1" l="1"/>
  <c r="H34" i="1"/>
  <c r="J32" i="1"/>
  <c r="I34" i="1" l="1"/>
  <c r="I35" i="1" s="1"/>
  <c r="H35" i="1"/>
  <c r="J35" i="1" l="1"/>
  <c r="H36" i="1"/>
  <c r="J34" i="1"/>
  <c r="I36" i="1" l="1"/>
  <c r="H37" i="1"/>
  <c r="I37" i="1" l="1"/>
  <c r="J37" i="1" s="1"/>
  <c r="D9" i="2" s="1"/>
  <c r="F9" i="2" s="1"/>
  <c r="J36" i="1"/>
</calcChain>
</file>

<file path=xl/sharedStrings.xml><?xml version="1.0" encoding="utf-8"?>
<sst xmlns="http://schemas.openxmlformats.org/spreadsheetml/2006/main" count="100" uniqueCount="100">
  <si>
    <t>Date</t>
  </si>
  <si>
    <t>Expiry</t>
  </si>
  <si>
    <t>Entry Spot</t>
  </si>
  <si>
    <t>Strike Sold</t>
  </si>
  <si>
    <t>Premium Received</t>
  </si>
  <si>
    <t>Lot Size</t>
  </si>
  <si>
    <t>Expiry P&amp;L (₹)</t>
  </si>
  <si>
    <t>Cumulative P&amp;L</t>
  </si>
  <si>
    <t>Running Peak</t>
  </si>
  <si>
    <t>Drawdown</t>
  </si>
  <si>
    <t>Excess Return</t>
  </si>
  <si>
    <t>2022-01-03</t>
  </si>
  <si>
    <t>2022-01-31</t>
  </si>
  <si>
    <t>2022-02-01</t>
  </si>
  <si>
    <t>2022-02-28</t>
  </si>
  <si>
    <t>2022-03-02</t>
  </si>
  <si>
    <t>2022-03-31</t>
  </si>
  <si>
    <t>2022-04-01</t>
  </si>
  <si>
    <t>2022-04-29</t>
  </si>
  <si>
    <t>2022-05-02</t>
  </si>
  <si>
    <t>2022-05-31</t>
  </si>
  <si>
    <t>2022-06-01</t>
  </si>
  <si>
    <t>2022-06-30</t>
  </si>
  <si>
    <t>2022-07-01</t>
  </si>
  <si>
    <t>2022-07-29</t>
  </si>
  <si>
    <t>2022-08-01</t>
  </si>
  <si>
    <t>2022-08-30</t>
  </si>
  <si>
    <t>2022-09-01</t>
  </si>
  <si>
    <t>2022-09-30</t>
  </si>
  <si>
    <t>2022-10-03</t>
  </si>
  <si>
    <t>2022-10-31</t>
  </si>
  <si>
    <t>2022-11-01</t>
  </si>
  <si>
    <t>2022-11-30</t>
  </si>
  <si>
    <t>2022-12-01</t>
  </si>
  <si>
    <t>2022-12-30</t>
  </si>
  <si>
    <t>2023-01-02</t>
  </si>
  <si>
    <t>2023-01-31</t>
  </si>
  <si>
    <t>2023-02-01</t>
  </si>
  <si>
    <t>2023-02-28</t>
  </si>
  <si>
    <t>2023-03-01</t>
  </si>
  <si>
    <t>2023-03-31</t>
  </si>
  <si>
    <t>2023-04-03</t>
  </si>
  <si>
    <t>2023-04-28</t>
  </si>
  <si>
    <t>2023-05-02</t>
  </si>
  <si>
    <t>2023-05-31</t>
  </si>
  <si>
    <t>2023-06-01</t>
  </si>
  <si>
    <t>2023-06-30</t>
  </si>
  <si>
    <t>2023-07-03</t>
  </si>
  <si>
    <t>2023-07-31</t>
  </si>
  <si>
    <t>2023-08-01</t>
  </si>
  <si>
    <t>2023-08-31</t>
  </si>
  <si>
    <t>2023-09-01</t>
  </si>
  <si>
    <t>2023-09-29</t>
  </si>
  <si>
    <t>2023-10-03</t>
  </si>
  <si>
    <t>2023-10-31</t>
  </si>
  <si>
    <t>2023-11-01</t>
  </si>
  <si>
    <t>2023-11-30</t>
  </si>
  <si>
    <t>2023-12-01</t>
  </si>
  <si>
    <t>2023-12-29</t>
  </si>
  <si>
    <t>2024-01-01</t>
  </si>
  <si>
    <t>2024-01-31</t>
  </si>
  <si>
    <t>2024-02-01</t>
  </si>
  <si>
    <t>2024-02-29</t>
  </si>
  <si>
    <t>2024-03-01</t>
  </si>
  <si>
    <t>2024-03-28</t>
  </si>
  <si>
    <t>2024-04-01</t>
  </si>
  <si>
    <t>2024-04-30</t>
  </si>
  <si>
    <t>2024-05-02</t>
  </si>
  <si>
    <t>2024-05-31</t>
  </si>
  <si>
    <t>2024-06-03</t>
  </si>
  <si>
    <t>2024-06-28</t>
  </si>
  <si>
    <t>2024-07-01</t>
  </si>
  <si>
    <t>2024-07-31</t>
  </si>
  <si>
    <t>2024-08-01</t>
  </si>
  <si>
    <t>2024-08-30</t>
  </si>
  <si>
    <t>2024-09-02</t>
  </si>
  <si>
    <t>2024-09-30</t>
  </si>
  <si>
    <t>2024-10-01</t>
  </si>
  <si>
    <t>2024-10-31</t>
  </si>
  <si>
    <t>2024-11-01</t>
  </si>
  <si>
    <t>2024-11-29</t>
  </si>
  <si>
    <t>2024-12-02</t>
  </si>
  <si>
    <t>2024-12-31</t>
  </si>
  <si>
    <t>Metric</t>
  </si>
  <si>
    <t>What it means</t>
  </si>
  <si>
    <t>Your Excel Result</t>
  </si>
  <si>
    <t>Match?</t>
  </si>
  <si>
    <t>Total P&amp;L (₹)</t>
  </si>
  <si>
    <t>Sum of all 36 monthly P&amp;Ls</t>
  </si>
  <si>
    <t>Win Rate</t>
  </si>
  <si>
    <t>% of months with positive P&amp;L</t>
  </si>
  <si>
    <t>Max Drawdown (₹)</t>
  </si>
  <si>
    <t>Worst peak-to-trough loss</t>
  </si>
  <si>
    <t>Sharpe Ratio</t>
  </si>
  <si>
    <t>Return per unit of risk (annualised)</t>
  </si>
  <si>
    <t>Avg Monthly Return (₹)</t>
  </si>
  <si>
    <t>Average P&amp;L per month</t>
  </si>
  <si>
    <t xml:space="preserve"> Python Output</t>
  </si>
  <si>
    <t>Covered Call Strategy - Metrics Cross-Check</t>
  </si>
  <si>
    <r>
      <rPr>
        <b/>
        <sz val="9"/>
        <color theme="1"/>
        <rFont val="Arial"/>
        <family val="2"/>
      </rPr>
      <t>Risk-free rate assumed = 6.5% p.a. (0.5417% per month)</t>
    </r>
    <r>
      <rPr>
        <i/>
        <sz val="9"/>
        <color rgb="FF595959"/>
        <rFont val="Arial"/>
        <charset val="1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</si>
</sst>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.00"/>
    <numFmt numFmtId="165" formatCode="0.0%"/>
  </numFmts>
  <fonts count="1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color rgb="FF000000"/>
      <name val="Arial"/>
      <charset val="1"/>
    </font>
    <font>
      <sz val="10"/>
      <color rgb="FF375623"/>
      <name val="Arial"/>
      <charset val="1"/>
    </font>
    <font>
      <sz val="10"/>
      <color rgb="FFC00000"/>
      <name val="Arial"/>
      <charset val="1"/>
    </font>
    <font>
      <b/>
      <sz val="14"/>
      <color rgb="FF1F4E79"/>
      <name val="Arial"/>
      <charset val="1"/>
    </font>
    <font>
      <b/>
      <sz val="10"/>
      <color rgb="FFC00000"/>
      <name val="Arial"/>
      <charset val="1"/>
    </font>
    <font>
      <i/>
      <sz val="9"/>
      <color rgb="FF595959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sz val="11"/>
      <color rgb="FF000000"/>
      <name val="Arial"/>
      <charset val="1"/>
    </font>
    <font>
      <i/>
      <sz val="10"/>
      <color rgb="FF7F7F7F"/>
      <name val="Arial"/>
      <charset val="1"/>
    </font>
    <font>
      <b/>
      <sz val="9"/>
      <color theme="1"/>
      <name val="Arial"/>
      <family val="2"/>
    </font>
    <font>
      <i/>
      <sz val="9"/>
      <color rgb="FF59595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375623"/>
        <bgColor rgb="FF595959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/>
    <xf numFmtId="4" fontId="3" fillId="0" borderId="0" xfId="0" applyNumberFormat="1" applyFont="1"/>
    <xf numFmtId="0" fontId="3" fillId="0" borderId="0" xfId="0" applyFont="1"/>
    <xf numFmtId="164" fontId="4" fillId="0" borderId="0" xfId="0" applyNumberFormat="1" applyFont="1"/>
    <xf numFmtId="164" fontId="3" fillId="0" borderId="0" xfId="0" applyNumberFormat="1" applyFont="1"/>
    <xf numFmtId="164" fontId="5" fillId="0" borderId="0" xfId="0" applyNumberFormat="1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5" fontId="11" fillId="0" borderId="1" xfId="0" applyNumberFormat="1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0" fontId="12" fillId="4" borderId="1" xfId="0" applyNumberFormat="1" applyFont="1" applyFill="1" applyBorder="1" applyAlignment="1">
      <alignment horizontal="center" vertical="center" wrapText="1"/>
    </xf>
    <xf numFmtId="0" fontId="14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opLeftCell="D1" zoomScale="66" zoomScaleNormal="100" workbookViewId="0">
      <pane ySplit="1" topLeftCell="A2" activePane="bottomLeft" state="frozen"/>
      <selection pane="bottomLeft" activeCell="K2" sqref="K2"/>
    </sheetView>
  </sheetViews>
  <sheetFormatPr defaultColWidth="8.6640625" defaultRowHeight="14.4" x14ac:dyDescent="0.3"/>
  <cols>
    <col min="1" max="2" width="12" customWidth="1"/>
    <col min="3" max="4" width="13" customWidth="1"/>
    <col min="5" max="5" width="18" customWidth="1"/>
    <col min="6" max="6" width="10" customWidth="1"/>
    <col min="7" max="7" width="18" customWidth="1"/>
    <col min="8" max="8" width="16" customWidth="1"/>
    <col min="9" max="9" width="14" customWidth="1"/>
    <col min="10" max="10" width="12" customWidth="1"/>
    <col min="11" max="11" width="14" customWidth="1"/>
  </cols>
  <sheetData>
    <row r="1" spans="1:1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3" t="s">
        <v>11</v>
      </c>
      <c r="B2" s="3" t="s">
        <v>12</v>
      </c>
      <c r="C2" s="4">
        <v>36000</v>
      </c>
      <c r="D2" s="5">
        <v>36200</v>
      </c>
      <c r="E2" s="4">
        <v>999.65</v>
      </c>
      <c r="F2" s="5">
        <v>25</v>
      </c>
      <c r="G2" s="6">
        <v>29991.25</v>
      </c>
      <c r="H2" s="7">
        <f>G2</f>
        <v>29991.25</v>
      </c>
      <c r="I2" s="7">
        <f>H2</f>
        <v>29991.25</v>
      </c>
      <c r="J2" s="7">
        <f t="shared" ref="J2:J37" si="0">H2-I2</f>
        <v>0</v>
      </c>
      <c r="K2" s="4">
        <f t="shared" ref="K2:K37" si="1">G2-0.005417</f>
        <v>29991.244583</v>
      </c>
    </row>
    <row r="3" spans="1:11" x14ac:dyDescent="0.3">
      <c r="A3" s="3" t="s">
        <v>13</v>
      </c>
      <c r="B3" s="3" t="s">
        <v>14</v>
      </c>
      <c r="C3" s="4">
        <v>37100</v>
      </c>
      <c r="D3" s="5">
        <v>37300</v>
      </c>
      <c r="E3" s="4">
        <v>2337.4</v>
      </c>
      <c r="F3" s="5">
        <v>25</v>
      </c>
      <c r="G3" s="6">
        <v>55935</v>
      </c>
      <c r="H3" s="7">
        <f t="shared" ref="H3:H37" si="2">H2+G3</f>
        <v>85926.25</v>
      </c>
      <c r="I3" s="7">
        <f t="shared" ref="I3:I37" si="3">MAX(I2,H3)</f>
        <v>85926.25</v>
      </c>
      <c r="J3" s="7">
        <f t="shared" si="0"/>
        <v>0</v>
      </c>
      <c r="K3" s="4">
        <f t="shared" si="1"/>
        <v>55934.994583</v>
      </c>
    </row>
    <row r="4" spans="1:11" x14ac:dyDescent="0.3">
      <c r="A4" s="3" t="s">
        <v>15</v>
      </c>
      <c r="B4" s="3" t="s">
        <v>16</v>
      </c>
      <c r="C4" s="4">
        <v>37000</v>
      </c>
      <c r="D4" s="5">
        <v>37200</v>
      </c>
      <c r="E4" s="4">
        <v>249.55</v>
      </c>
      <c r="F4" s="5">
        <v>25</v>
      </c>
      <c r="G4" s="8">
        <v>-28761.25</v>
      </c>
      <c r="H4" s="7">
        <f t="shared" si="2"/>
        <v>57165</v>
      </c>
      <c r="I4" s="7">
        <f t="shared" si="3"/>
        <v>85926.25</v>
      </c>
      <c r="J4" s="7">
        <f t="shared" si="0"/>
        <v>-28761.25</v>
      </c>
      <c r="K4" s="4">
        <f t="shared" si="1"/>
        <v>-28761.255417</v>
      </c>
    </row>
    <row r="5" spans="1:11" x14ac:dyDescent="0.3">
      <c r="A5" s="3" t="s">
        <v>17</v>
      </c>
      <c r="B5" s="3" t="s">
        <v>18</v>
      </c>
      <c r="C5" s="4">
        <v>35600</v>
      </c>
      <c r="D5" s="5">
        <v>35800</v>
      </c>
      <c r="E5" s="4">
        <v>2166.35</v>
      </c>
      <c r="F5" s="5">
        <v>25</v>
      </c>
      <c r="G5" s="6">
        <v>59158.75</v>
      </c>
      <c r="H5" s="7">
        <f t="shared" si="2"/>
        <v>116323.75</v>
      </c>
      <c r="I5" s="7">
        <f t="shared" si="3"/>
        <v>116323.75</v>
      </c>
      <c r="J5" s="7">
        <f t="shared" si="0"/>
        <v>0</v>
      </c>
      <c r="K5" s="4">
        <f t="shared" si="1"/>
        <v>59158.744583</v>
      </c>
    </row>
    <row r="6" spans="1:11" x14ac:dyDescent="0.3">
      <c r="A6" s="3" t="s">
        <v>19</v>
      </c>
      <c r="B6" s="3" t="s">
        <v>20</v>
      </c>
      <c r="C6" s="4">
        <v>36600</v>
      </c>
      <c r="D6" s="5">
        <v>36800</v>
      </c>
      <c r="E6" s="4">
        <v>451.5</v>
      </c>
      <c r="F6" s="5">
        <v>25</v>
      </c>
      <c r="G6" s="8">
        <v>-31212.5</v>
      </c>
      <c r="H6" s="7">
        <f t="shared" si="2"/>
        <v>85111.25</v>
      </c>
      <c r="I6" s="7">
        <f t="shared" si="3"/>
        <v>116323.75</v>
      </c>
      <c r="J6" s="7">
        <f t="shared" si="0"/>
        <v>-31212.5</v>
      </c>
      <c r="K6" s="4">
        <f t="shared" si="1"/>
        <v>-31212.505417</v>
      </c>
    </row>
    <row r="7" spans="1:11" x14ac:dyDescent="0.3">
      <c r="A7" s="3" t="s">
        <v>21</v>
      </c>
      <c r="B7" s="3" t="s">
        <v>22</v>
      </c>
      <c r="C7" s="4">
        <v>34900</v>
      </c>
      <c r="D7" s="5">
        <v>35100</v>
      </c>
      <c r="E7" s="4">
        <v>917.3</v>
      </c>
      <c r="F7" s="5">
        <v>25</v>
      </c>
      <c r="G7" s="6">
        <v>5432.5</v>
      </c>
      <c r="H7" s="7">
        <f t="shared" si="2"/>
        <v>90543.75</v>
      </c>
      <c r="I7" s="7">
        <f t="shared" si="3"/>
        <v>116323.75</v>
      </c>
      <c r="J7" s="7">
        <f t="shared" si="0"/>
        <v>-25780</v>
      </c>
      <c r="K7" s="4">
        <f t="shared" si="1"/>
        <v>5432.4945829999997</v>
      </c>
    </row>
    <row r="8" spans="1:11" x14ac:dyDescent="0.3">
      <c r="A8" s="3" t="s">
        <v>23</v>
      </c>
      <c r="B8" s="3" t="s">
        <v>24</v>
      </c>
      <c r="C8" s="4">
        <v>33900</v>
      </c>
      <c r="D8" s="5">
        <v>34100</v>
      </c>
      <c r="E8" s="4">
        <v>1918.2</v>
      </c>
      <c r="F8" s="5">
        <v>25</v>
      </c>
      <c r="G8" s="6">
        <v>52955</v>
      </c>
      <c r="H8" s="7">
        <f t="shared" si="2"/>
        <v>143498.75</v>
      </c>
      <c r="I8" s="7">
        <f t="shared" si="3"/>
        <v>143498.75</v>
      </c>
      <c r="J8" s="7">
        <f t="shared" si="0"/>
        <v>0</v>
      </c>
      <c r="K8" s="4">
        <f t="shared" si="1"/>
        <v>52954.994583</v>
      </c>
    </row>
    <row r="9" spans="1:11" x14ac:dyDescent="0.3">
      <c r="A9" s="3" t="s">
        <v>25</v>
      </c>
      <c r="B9" s="3" t="s">
        <v>26</v>
      </c>
      <c r="C9" s="4">
        <v>35700</v>
      </c>
      <c r="D9" s="5">
        <v>35900</v>
      </c>
      <c r="E9" s="4">
        <v>3258.55</v>
      </c>
      <c r="F9" s="5">
        <v>25</v>
      </c>
      <c r="G9" s="6">
        <v>86463.75</v>
      </c>
      <c r="H9" s="7">
        <f t="shared" si="2"/>
        <v>229962.5</v>
      </c>
      <c r="I9" s="7">
        <f t="shared" si="3"/>
        <v>229962.5</v>
      </c>
      <c r="J9" s="7">
        <f t="shared" si="0"/>
        <v>0</v>
      </c>
      <c r="K9" s="4">
        <f t="shared" si="1"/>
        <v>86463.744583000007</v>
      </c>
    </row>
    <row r="10" spans="1:11" x14ac:dyDescent="0.3">
      <c r="A10" s="3" t="s">
        <v>27</v>
      </c>
      <c r="B10" s="3" t="s">
        <v>28</v>
      </c>
      <c r="C10" s="4">
        <v>37800</v>
      </c>
      <c r="D10" s="5">
        <v>38000</v>
      </c>
      <c r="E10" s="4">
        <v>1257.3</v>
      </c>
      <c r="F10" s="5">
        <v>25</v>
      </c>
      <c r="G10" s="6">
        <v>36432.5</v>
      </c>
      <c r="H10" s="7">
        <f t="shared" si="2"/>
        <v>266395</v>
      </c>
      <c r="I10" s="7">
        <f t="shared" si="3"/>
        <v>266395</v>
      </c>
      <c r="J10" s="7">
        <f t="shared" si="0"/>
        <v>0</v>
      </c>
      <c r="K10" s="4">
        <f t="shared" si="1"/>
        <v>36432.494583</v>
      </c>
    </row>
    <row r="11" spans="1:11" x14ac:dyDescent="0.3">
      <c r="A11" s="3" t="s">
        <v>29</v>
      </c>
      <c r="B11" s="3" t="s">
        <v>30</v>
      </c>
      <c r="C11" s="4">
        <v>39000</v>
      </c>
      <c r="D11" s="5">
        <v>39200</v>
      </c>
      <c r="E11" s="4">
        <v>2518.0500000000002</v>
      </c>
      <c r="F11" s="5">
        <v>25</v>
      </c>
      <c r="G11" s="6">
        <v>67951.25</v>
      </c>
      <c r="H11" s="7">
        <f t="shared" si="2"/>
        <v>334346.25</v>
      </c>
      <c r="I11" s="7">
        <f t="shared" si="3"/>
        <v>334346.25</v>
      </c>
      <c r="J11" s="7">
        <f t="shared" si="0"/>
        <v>0</v>
      </c>
      <c r="K11" s="4">
        <f t="shared" si="1"/>
        <v>67951.244583000007</v>
      </c>
    </row>
    <row r="12" spans="1:11" x14ac:dyDescent="0.3">
      <c r="A12" s="3" t="s">
        <v>31</v>
      </c>
      <c r="B12" s="3" t="s">
        <v>32</v>
      </c>
      <c r="C12" s="4">
        <v>39500</v>
      </c>
      <c r="D12" s="5">
        <v>39700</v>
      </c>
      <c r="E12" s="4">
        <v>2016.25</v>
      </c>
      <c r="F12" s="5">
        <v>25</v>
      </c>
      <c r="G12" s="6">
        <v>55406.25</v>
      </c>
      <c r="H12" s="7">
        <f t="shared" si="2"/>
        <v>389752.5</v>
      </c>
      <c r="I12" s="7">
        <f t="shared" si="3"/>
        <v>389752.5</v>
      </c>
      <c r="J12" s="7">
        <f t="shared" si="0"/>
        <v>0</v>
      </c>
      <c r="K12" s="4">
        <f t="shared" si="1"/>
        <v>55406.244583</v>
      </c>
    </row>
    <row r="13" spans="1:11" x14ac:dyDescent="0.3">
      <c r="A13" s="3" t="s">
        <v>33</v>
      </c>
      <c r="B13" s="3" t="s">
        <v>34</v>
      </c>
      <c r="C13" s="4">
        <v>41500</v>
      </c>
      <c r="D13" s="5">
        <v>41700</v>
      </c>
      <c r="E13" s="4">
        <v>2395.15</v>
      </c>
      <c r="F13" s="5">
        <v>25</v>
      </c>
      <c r="G13" s="6">
        <v>64878.75</v>
      </c>
      <c r="H13" s="7">
        <f t="shared" si="2"/>
        <v>454631.25</v>
      </c>
      <c r="I13" s="7">
        <f t="shared" si="3"/>
        <v>454631.25</v>
      </c>
      <c r="J13" s="7">
        <f t="shared" si="0"/>
        <v>0</v>
      </c>
      <c r="K13" s="4">
        <f t="shared" si="1"/>
        <v>64878.744583</v>
      </c>
    </row>
    <row r="14" spans="1:11" x14ac:dyDescent="0.3">
      <c r="A14" s="3" t="s">
        <v>35</v>
      </c>
      <c r="B14" s="3" t="s">
        <v>36</v>
      </c>
      <c r="C14" s="4">
        <v>42500</v>
      </c>
      <c r="D14" s="5">
        <v>42700</v>
      </c>
      <c r="E14" s="4">
        <v>743.35</v>
      </c>
      <c r="F14" s="5">
        <v>25</v>
      </c>
      <c r="G14" s="8">
        <v>-1416.25</v>
      </c>
      <c r="H14" s="7">
        <f t="shared" si="2"/>
        <v>453215</v>
      </c>
      <c r="I14" s="7">
        <f t="shared" si="3"/>
        <v>454631.25</v>
      </c>
      <c r="J14" s="7">
        <f t="shared" si="0"/>
        <v>-1416.25</v>
      </c>
      <c r="K14" s="4">
        <f t="shared" si="1"/>
        <v>-1416.2554170000001</v>
      </c>
    </row>
    <row r="15" spans="1:11" x14ac:dyDescent="0.3">
      <c r="A15" s="3" t="s">
        <v>37</v>
      </c>
      <c r="B15" s="3" t="s">
        <v>38</v>
      </c>
      <c r="C15" s="4">
        <v>41400</v>
      </c>
      <c r="D15" s="5">
        <v>41600</v>
      </c>
      <c r="E15" s="4">
        <v>2471.65</v>
      </c>
      <c r="F15" s="5">
        <v>25</v>
      </c>
      <c r="G15" s="6">
        <v>46791.25</v>
      </c>
      <c r="H15" s="7">
        <f t="shared" si="2"/>
        <v>500006.25</v>
      </c>
      <c r="I15" s="7">
        <f t="shared" si="3"/>
        <v>500006.25</v>
      </c>
      <c r="J15" s="7">
        <f t="shared" si="0"/>
        <v>0</v>
      </c>
      <c r="K15" s="4">
        <f t="shared" si="1"/>
        <v>46791.244583</v>
      </c>
    </row>
    <row r="16" spans="1:11" x14ac:dyDescent="0.3">
      <c r="A16" s="3" t="s">
        <v>39</v>
      </c>
      <c r="B16" s="3" t="s">
        <v>40</v>
      </c>
      <c r="C16" s="4">
        <v>40800</v>
      </c>
      <c r="D16" s="5">
        <v>41000</v>
      </c>
      <c r="E16" s="4">
        <v>956.2</v>
      </c>
      <c r="F16" s="5">
        <v>25</v>
      </c>
      <c r="G16" s="6">
        <v>6405</v>
      </c>
      <c r="H16" s="7">
        <f t="shared" si="2"/>
        <v>506411.25</v>
      </c>
      <c r="I16" s="7">
        <f t="shared" si="3"/>
        <v>506411.25</v>
      </c>
      <c r="J16" s="7">
        <f t="shared" si="0"/>
        <v>0</v>
      </c>
      <c r="K16" s="4">
        <f t="shared" si="1"/>
        <v>6404.9945829999997</v>
      </c>
    </row>
    <row r="17" spans="1:11" x14ac:dyDescent="0.3">
      <c r="A17" s="3" t="s">
        <v>41</v>
      </c>
      <c r="B17" s="3" t="s">
        <v>42</v>
      </c>
      <c r="C17" s="4">
        <v>40200</v>
      </c>
      <c r="D17" s="5">
        <v>40400</v>
      </c>
      <c r="E17" s="4">
        <v>2057.25</v>
      </c>
      <c r="F17" s="5">
        <v>25</v>
      </c>
      <c r="G17" s="6">
        <v>56431.25</v>
      </c>
      <c r="H17" s="7">
        <f t="shared" si="2"/>
        <v>562842.5</v>
      </c>
      <c r="I17" s="7">
        <f t="shared" si="3"/>
        <v>562842.5</v>
      </c>
      <c r="J17" s="7">
        <f t="shared" si="0"/>
        <v>0</v>
      </c>
      <c r="K17" s="4">
        <f t="shared" si="1"/>
        <v>56431.244583</v>
      </c>
    </row>
    <row r="18" spans="1:11" x14ac:dyDescent="0.3">
      <c r="A18" s="3" t="s">
        <v>43</v>
      </c>
      <c r="B18" s="3" t="s">
        <v>44</v>
      </c>
      <c r="C18" s="4">
        <v>42000</v>
      </c>
      <c r="D18" s="5">
        <v>42200</v>
      </c>
      <c r="E18" s="4">
        <v>1366.15</v>
      </c>
      <c r="F18" s="5">
        <v>25</v>
      </c>
      <c r="G18" s="6">
        <v>39153.75</v>
      </c>
      <c r="H18" s="7">
        <f t="shared" si="2"/>
        <v>601996.25</v>
      </c>
      <c r="I18" s="7">
        <f t="shared" si="3"/>
        <v>601996.25</v>
      </c>
      <c r="J18" s="7">
        <f t="shared" si="0"/>
        <v>0</v>
      </c>
      <c r="K18" s="4">
        <f t="shared" si="1"/>
        <v>39153.744583</v>
      </c>
    </row>
    <row r="19" spans="1:11" x14ac:dyDescent="0.3">
      <c r="A19" s="3" t="s">
        <v>45</v>
      </c>
      <c r="B19" s="3" t="s">
        <v>46</v>
      </c>
      <c r="C19" s="4">
        <v>43500</v>
      </c>
      <c r="D19" s="5">
        <v>43700</v>
      </c>
      <c r="E19" s="4">
        <v>556.9</v>
      </c>
      <c r="F19" s="5">
        <v>25</v>
      </c>
      <c r="G19" s="6">
        <v>18922.5</v>
      </c>
      <c r="H19" s="7">
        <f t="shared" si="2"/>
        <v>620918.75</v>
      </c>
      <c r="I19" s="7">
        <f t="shared" si="3"/>
        <v>620918.75</v>
      </c>
      <c r="J19" s="7">
        <f t="shared" si="0"/>
        <v>0</v>
      </c>
      <c r="K19" s="4">
        <f t="shared" si="1"/>
        <v>18922.494583</v>
      </c>
    </row>
    <row r="20" spans="1:11" x14ac:dyDescent="0.3">
      <c r="A20" s="3" t="s">
        <v>47</v>
      </c>
      <c r="B20" s="3" t="s">
        <v>48</v>
      </c>
      <c r="C20" s="4">
        <v>44100</v>
      </c>
      <c r="D20" s="5">
        <v>44300</v>
      </c>
      <c r="E20" s="4">
        <v>1096.8</v>
      </c>
      <c r="F20" s="5">
        <v>15</v>
      </c>
      <c r="G20" s="6">
        <v>19452</v>
      </c>
      <c r="H20" s="7">
        <f t="shared" si="2"/>
        <v>640370.75</v>
      </c>
      <c r="I20" s="7">
        <f t="shared" si="3"/>
        <v>640370.75</v>
      </c>
      <c r="J20" s="7">
        <f t="shared" si="0"/>
        <v>0</v>
      </c>
      <c r="K20" s="4">
        <f t="shared" si="1"/>
        <v>19451.994583</v>
      </c>
    </row>
    <row r="21" spans="1:11" x14ac:dyDescent="0.3">
      <c r="A21" s="3" t="s">
        <v>49</v>
      </c>
      <c r="B21" s="3" t="s">
        <v>50</v>
      </c>
      <c r="C21" s="4">
        <v>45300</v>
      </c>
      <c r="D21" s="5">
        <v>45500</v>
      </c>
      <c r="E21" s="4">
        <v>403.55</v>
      </c>
      <c r="F21" s="5">
        <v>15</v>
      </c>
      <c r="G21" s="8">
        <v>-5946.75</v>
      </c>
      <c r="H21" s="7">
        <f t="shared" si="2"/>
        <v>634424</v>
      </c>
      <c r="I21" s="7">
        <f t="shared" si="3"/>
        <v>640370.75</v>
      </c>
      <c r="J21" s="7">
        <f t="shared" si="0"/>
        <v>-5946.75</v>
      </c>
      <c r="K21" s="4">
        <f t="shared" si="1"/>
        <v>-5946.7554170000003</v>
      </c>
    </row>
    <row r="22" spans="1:11" x14ac:dyDescent="0.3">
      <c r="A22" s="3" t="s">
        <v>51</v>
      </c>
      <c r="B22" s="3" t="s">
        <v>52</v>
      </c>
      <c r="C22" s="4">
        <v>44400</v>
      </c>
      <c r="D22" s="5">
        <v>44600</v>
      </c>
      <c r="E22" s="4">
        <v>146.80000000000001</v>
      </c>
      <c r="F22" s="5">
        <v>15</v>
      </c>
      <c r="G22" s="6">
        <v>5202</v>
      </c>
      <c r="H22" s="7">
        <f t="shared" si="2"/>
        <v>639626</v>
      </c>
      <c r="I22" s="7">
        <f t="shared" si="3"/>
        <v>640370.75</v>
      </c>
      <c r="J22" s="7">
        <f t="shared" si="0"/>
        <v>-744.75</v>
      </c>
      <c r="K22" s="4">
        <f t="shared" si="1"/>
        <v>5201.9945829999997</v>
      </c>
    </row>
    <row r="23" spans="1:11" x14ac:dyDescent="0.3">
      <c r="A23" s="3" t="s">
        <v>53</v>
      </c>
      <c r="B23" s="3" t="s">
        <v>54</v>
      </c>
      <c r="C23" s="4">
        <v>45000</v>
      </c>
      <c r="D23" s="5">
        <v>45200</v>
      </c>
      <c r="E23" s="4">
        <v>302.05</v>
      </c>
      <c r="F23" s="5">
        <v>15</v>
      </c>
      <c r="G23" s="8">
        <v>-17969.25</v>
      </c>
      <c r="H23" s="7">
        <f t="shared" si="2"/>
        <v>621656.75</v>
      </c>
      <c r="I23" s="7">
        <f t="shared" si="3"/>
        <v>640370.75</v>
      </c>
      <c r="J23" s="7">
        <f t="shared" si="0"/>
        <v>-18714</v>
      </c>
      <c r="K23" s="4">
        <f t="shared" si="1"/>
        <v>-17969.255417</v>
      </c>
    </row>
    <row r="24" spans="1:11" x14ac:dyDescent="0.3">
      <c r="A24" s="3" t="s">
        <v>55</v>
      </c>
      <c r="B24" s="3" t="s">
        <v>56</v>
      </c>
      <c r="C24" s="4">
        <v>43500</v>
      </c>
      <c r="D24" s="5">
        <v>43700</v>
      </c>
      <c r="E24" s="4">
        <v>273.89999999999998</v>
      </c>
      <c r="F24" s="5">
        <v>15</v>
      </c>
      <c r="G24" s="6">
        <v>7108.5</v>
      </c>
      <c r="H24" s="7">
        <f t="shared" si="2"/>
        <v>628765.25</v>
      </c>
      <c r="I24" s="7">
        <f t="shared" si="3"/>
        <v>640370.75</v>
      </c>
      <c r="J24" s="7">
        <f t="shared" si="0"/>
        <v>-11605.5</v>
      </c>
      <c r="K24" s="4">
        <f t="shared" si="1"/>
        <v>7108.4945829999997</v>
      </c>
    </row>
    <row r="25" spans="1:11" x14ac:dyDescent="0.3">
      <c r="A25" s="3" t="s">
        <v>57</v>
      </c>
      <c r="B25" s="3" t="s">
        <v>58</v>
      </c>
      <c r="C25" s="4">
        <v>43900</v>
      </c>
      <c r="D25" s="5">
        <v>44100</v>
      </c>
      <c r="E25" s="4">
        <v>1222.95</v>
      </c>
      <c r="F25" s="5">
        <v>15</v>
      </c>
      <c r="G25" s="6">
        <v>21344.25</v>
      </c>
      <c r="H25" s="7">
        <f t="shared" si="2"/>
        <v>650109.5</v>
      </c>
      <c r="I25" s="7">
        <f t="shared" si="3"/>
        <v>650109.5</v>
      </c>
      <c r="J25" s="7">
        <f t="shared" si="0"/>
        <v>0</v>
      </c>
      <c r="K25" s="4">
        <f t="shared" si="1"/>
        <v>21344.244583</v>
      </c>
    </row>
    <row r="26" spans="1:11" x14ac:dyDescent="0.3">
      <c r="A26" s="3" t="s">
        <v>59</v>
      </c>
      <c r="B26" s="3" t="s">
        <v>60</v>
      </c>
      <c r="C26" s="4">
        <v>47100</v>
      </c>
      <c r="D26" s="5">
        <v>47300</v>
      </c>
      <c r="E26" s="4">
        <v>1502.75</v>
      </c>
      <c r="F26" s="5">
        <v>15</v>
      </c>
      <c r="G26" s="6">
        <v>9041.25</v>
      </c>
      <c r="H26" s="7">
        <f t="shared" si="2"/>
        <v>659150.75</v>
      </c>
      <c r="I26" s="7">
        <f t="shared" si="3"/>
        <v>659150.75</v>
      </c>
      <c r="J26" s="7">
        <f t="shared" si="0"/>
        <v>0</v>
      </c>
      <c r="K26" s="4">
        <f t="shared" si="1"/>
        <v>9041.2445829999997</v>
      </c>
    </row>
    <row r="27" spans="1:11" x14ac:dyDescent="0.3">
      <c r="A27" s="3" t="s">
        <v>61</v>
      </c>
      <c r="B27" s="3" t="s">
        <v>62</v>
      </c>
      <c r="C27" s="4">
        <v>46200</v>
      </c>
      <c r="D27" s="5">
        <v>46400</v>
      </c>
      <c r="E27" s="4">
        <v>717.1</v>
      </c>
      <c r="F27" s="5">
        <v>15</v>
      </c>
      <c r="G27" s="6">
        <v>12256.5</v>
      </c>
      <c r="H27" s="7">
        <f t="shared" si="2"/>
        <v>671407.25</v>
      </c>
      <c r="I27" s="7">
        <f t="shared" si="3"/>
        <v>671407.25</v>
      </c>
      <c r="J27" s="7">
        <f t="shared" si="0"/>
        <v>0</v>
      </c>
      <c r="K27" s="4">
        <f t="shared" si="1"/>
        <v>12256.494583</v>
      </c>
    </row>
    <row r="28" spans="1:11" x14ac:dyDescent="0.3">
      <c r="A28" s="3" t="s">
        <v>63</v>
      </c>
      <c r="B28" s="3" t="s">
        <v>64</v>
      </c>
      <c r="C28" s="4">
        <v>46300</v>
      </c>
      <c r="D28" s="5">
        <v>46500</v>
      </c>
      <c r="E28" s="4">
        <v>1441.7</v>
      </c>
      <c r="F28" s="5">
        <v>15</v>
      </c>
      <c r="G28" s="6">
        <v>24625.5</v>
      </c>
      <c r="H28" s="7">
        <f t="shared" si="2"/>
        <v>696032.75</v>
      </c>
      <c r="I28" s="7">
        <f t="shared" si="3"/>
        <v>696032.75</v>
      </c>
      <c r="J28" s="7">
        <f t="shared" si="0"/>
        <v>0</v>
      </c>
      <c r="K28" s="4">
        <f t="shared" si="1"/>
        <v>24625.494583</v>
      </c>
    </row>
    <row r="29" spans="1:11" x14ac:dyDescent="0.3">
      <c r="A29" s="3" t="s">
        <v>65</v>
      </c>
      <c r="B29" s="3" t="s">
        <v>66</v>
      </c>
      <c r="C29" s="4">
        <v>46800</v>
      </c>
      <c r="D29" s="5">
        <v>47000</v>
      </c>
      <c r="E29" s="4">
        <v>1381.3</v>
      </c>
      <c r="F29" s="5">
        <v>15</v>
      </c>
      <c r="G29" s="6">
        <v>23719.5</v>
      </c>
      <c r="H29" s="7">
        <f t="shared" si="2"/>
        <v>719752.25</v>
      </c>
      <c r="I29" s="7">
        <f t="shared" si="3"/>
        <v>719752.25</v>
      </c>
      <c r="J29" s="7">
        <f t="shared" si="0"/>
        <v>0</v>
      </c>
      <c r="K29" s="4">
        <f t="shared" si="1"/>
        <v>23719.494583</v>
      </c>
    </row>
    <row r="30" spans="1:11" x14ac:dyDescent="0.3">
      <c r="A30" s="3" t="s">
        <v>67</v>
      </c>
      <c r="B30" s="3" t="s">
        <v>68</v>
      </c>
      <c r="C30" s="4">
        <v>48400</v>
      </c>
      <c r="D30" s="5">
        <v>48600</v>
      </c>
      <c r="E30" s="4">
        <v>992.3</v>
      </c>
      <c r="F30" s="5">
        <v>15</v>
      </c>
      <c r="G30" s="6">
        <v>14884.5</v>
      </c>
      <c r="H30" s="7">
        <f t="shared" si="2"/>
        <v>734636.75</v>
      </c>
      <c r="I30" s="7">
        <f t="shared" si="3"/>
        <v>734636.75</v>
      </c>
      <c r="J30" s="7">
        <f t="shared" si="0"/>
        <v>0</v>
      </c>
      <c r="K30" s="4">
        <f t="shared" si="1"/>
        <v>14884.494583</v>
      </c>
    </row>
    <row r="31" spans="1:11" x14ac:dyDescent="0.3">
      <c r="A31" s="3" t="s">
        <v>69</v>
      </c>
      <c r="B31" s="3" t="s">
        <v>70</v>
      </c>
      <c r="C31" s="4">
        <v>48800</v>
      </c>
      <c r="D31" s="5">
        <v>49000</v>
      </c>
      <c r="E31" s="4">
        <v>2559.75</v>
      </c>
      <c r="F31" s="5">
        <v>15</v>
      </c>
      <c r="G31" s="6">
        <v>41396.25</v>
      </c>
      <c r="H31" s="7">
        <f t="shared" si="2"/>
        <v>776033</v>
      </c>
      <c r="I31" s="7">
        <f t="shared" si="3"/>
        <v>776033</v>
      </c>
      <c r="J31" s="7">
        <f t="shared" si="0"/>
        <v>0</v>
      </c>
      <c r="K31" s="4">
        <f t="shared" si="1"/>
        <v>41396.244583</v>
      </c>
    </row>
    <row r="32" spans="1:11" x14ac:dyDescent="0.3">
      <c r="A32" s="3" t="s">
        <v>71</v>
      </c>
      <c r="B32" s="3" t="s">
        <v>72</v>
      </c>
      <c r="C32" s="4">
        <v>51000</v>
      </c>
      <c r="D32" s="5">
        <v>51200</v>
      </c>
      <c r="E32" s="4">
        <v>3830.9</v>
      </c>
      <c r="F32" s="5">
        <v>15</v>
      </c>
      <c r="G32" s="6">
        <v>60463.5</v>
      </c>
      <c r="H32" s="7">
        <f t="shared" si="2"/>
        <v>836496.5</v>
      </c>
      <c r="I32" s="7">
        <f t="shared" si="3"/>
        <v>836496.5</v>
      </c>
      <c r="J32" s="7">
        <f t="shared" si="0"/>
        <v>0</v>
      </c>
      <c r="K32" s="4">
        <f t="shared" si="1"/>
        <v>60463.494583</v>
      </c>
    </row>
    <row r="33" spans="1:11" x14ac:dyDescent="0.3">
      <c r="A33" s="3" t="s">
        <v>73</v>
      </c>
      <c r="B33" s="3" t="s">
        <v>74</v>
      </c>
      <c r="C33" s="4">
        <v>51400</v>
      </c>
      <c r="D33" s="5">
        <v>51600</v>
      </c>
      <c r="E33" s="4">
        <v>1356.55</v>
      </c>
      <c r="F33" s="5">
        <v>15</v>
      </c>
      <c r="G33" s="6">
        <v>11348.25</v>
      </c>
      <c r="H33" s="7">
        <f t="shared" si="2"/>
        <v>847844.75</v>
      </c>
      <c r="I33" s="7">
        <f t="shared" si="3"/>
        <v>847844.75</v>
      </c>
      <c r="J33" s="7">
        <f t="shared" si="0"/>
        <v>0</v>
      </c>
      <c r="K33" s="4">
        <f t="shared" si="1"/>
        <v>11348.244583</v>
      </c>
    </row>
    <row r="34" spans="1:11" x14ac:dyDescent="0.3">
      <c r="A34" s="3" t="s">
        <v>75</v>
      </c>
      <c r="B34" s="3" t="s">
        <v>76</v>
      </c>
      <c r="C34" s="4">
        <v>50850</v>
      </c>
      <c r="D34" s="5">
        <v>51000</v>
      </c>
      <c r="E34" s="4">
        <v>1254.9000000000001</v>
      </c>
      <c r="F34" s="5">
        <v>15</v>
      </c>
      <c r="G34" s="6">
        <v>21073.5</v>
      </c>
      <c r="H34" s="7">
        <f t="shared" si="2"/>
        <v>868918.25</v>
      </c>
      <c r="I34" s="7">
        <f t="shared" si="3"/>
        <v>868918.25</v>
      </c>
      <c r="J34" s="7">
        <f t="shared" si="0"/>
        <v>0</v>
      </c>
      <c r="K34" s="4">
        <f t="shared" si="1"/>
        <v>21073.494583</v>
      </c>
    </row>
    <row r="35" spans="1:11" x14ac:dyDescent="0.3">
      <c r="A35" s="3" t="s">
        <v>77</v>
      </c>
      <c r="B35" s="3" t="s">
        <v>78</v>
      </c>
      <c r="C35" s="4">
        <v>52800</v>
      </c>
      <c r="D35" s="5">
        <v>53000</v>
      </c>
      <c r="E35" s="4">
        <v>1535.9</v>
      </c>
      <c r="F35" s="5">
        <v>15</v>
      </c>
      <c r="G35" s="6">
        <v>11038.5</v>
      </c>
      <c r="H35" s="7">
        <f t="shared" si="2"/>
        <v>879956.75</v>
      </c>
      <c r="I35" s="7">
        <f t="shared" si="3"/>
        <v>879956.75</v>
      </c>
      <c r="J35" s="7">
        <f t="shared" si="0"/>
        <v>0</v>
      </c>
      <c r="K35" s="4">
        <f t="shared" si="1"/>
        <v>11038.494583</v>
      </c>
    </row>
    <row r="36" spans="1:11" x14ac:dyDescent="0.3">
      <c r="A36" s="3" t="s">
        <v>79</v>
      </c>
      <c r="B36" s="3" t="s">
        <v>80</v>
      </c>
      <c r="C36" s="4">
        <v>52000</v>
      </c>
      <c r="D36" s="5">
        <v>52200</v>
      </c>
      <c r="E36" s="4">
        <v>434.75</v>
      </c>
      <c r="F36" s="5">
        <v>15</v>
      </c>
      <c r="G36" s="6">
        <v>4271.25</v>
      </c>
      <c r="H36" s="7">
        <f t="shared" si="2"/>
        <v>884228</v>
      </c>
      <c r="I36" s="7">
        <f t="shared" si="3"/>
        <v>884228</v>
      </c>
      <c r="J36" s="7">
        <f t="shared" si="0"/>
        <v>0</v>
      </c>
      <c r="K36" s="4">
        <f t="shared" si="1"/>
        <v>4271.2445829999997</v>
      </c>
    </row>
    <row r="37" spans="1:11" x14ac:dyDescent="0.3">
      <c r="A37" s="3" t="s">
        <v>81</v>
      </c>
      <c r="B37" s="3" t="s">
        <v>82</v>
      </c>
      <c r="C37" s="4">
        <v>51850</v>
      </c>
      <c r="D37" s="5">
        <v>52000</v>
      </c>
      <c r="E37" s="4">
        <v>2103.5</v>
      </c>
      <c r="F37" s="5">
        <v>15</v>
      </c>
      <c r="G37" s="6">
        <v>29302.5</v>
      </c>
      <c r="H37" s="7">
        <f t="shared" si="2"/>
        <v>913530.5</v>
      </c>
      <c r="I37" s="7">
        <f t="shared" si="3"/>
        <v>913530.5</v>
      </c>
      <c r="J37" s="7">
        <f t="shared" si="0"/>
        <v>0</v>
      </c>
      <c r="K37" s="4">
        <f t="shared" si="1"/>
        <v>29302.494583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13"/>
  <sheetViews>
    <sheetView tabSelected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G8" sqref="G8"/>
    </sheetView>
  </sheetViews>
  <sheetFormatPr defaultColWidth="8.6640625" defaultRowHeight="14.4" x14ac:dyDescent="0.3"/>
  <cols>
    <col min="1" max="1" width="2" customWidth="1"/>
    <col min="2" max="2" width="22" customWidth="1"/>
    <col min="3" max="3" width="32" customWidth="1"/>
    <col min="4" max="4" width="20" customWidth="1"/>
    <col min="5" max="5" width="22" customWidth="1"/>
    <col min="6" max="6" width="14" customWidth="1"/>
  </cols>
  <sheetData>
    <row r="2" spans="2:6" ht="27.75" customHeight="1" x14ac:dyDescent="0.3">
      <c r="B2" s="9" t="s">
        <v>98</v>
      </c>
    </row>
    <row r="4" spans="2:6" x14ac:dyDescent="0.3">
      <c r="B4" s="10"/>
      <c r="C4" s="19" t="s">
        <v>99</v>
      </c>
    </row>
    <row r="6" spans="2:6" ht="24.75" customHeight="1" x14ac:dyDescent="0.3">
      <c r="B6" s="1" t="s">
        <v>83</v>
      </c>
      <c r="C6" s="1" t="s">
        <v>84</v>
      </c>
      <c r="D6" s="1" t="s">
        <v>85</v>
      </c>
      <c r="E6" s="1" t="s">
        <v>97</v>
      </c>
      <c r="F6" s="1" t="s">
        <v>86</v>
      </c>
    </row>
    <row r="7" spans="2:6" ht="30" customHeight="1" x14ac:dyDescent="0.3">
      <c r="B7" s="11" t="s">
        <v>87</v>
      </c>
      <c r="C7" s="12" t="s">
        <v>88</v>
      </c>
      <c r="D7" s="13">
        <f>SUM('Trade Data &amp; Calculations'!G2:G37)</f>
        <v>913530.5</v>
      </c>
      <c r="E7" s="14">
        <v>913530.5</v>
      </c>
      <c r="F7" s="15" t="str">
        <f>IF(E7="← Nalin fills this","⏳ Pending",IF(ABS(D7-E7)&lt;ABS(D7)*0.01+1,"✓ Match","⚠ Check"))</f>
        <v>✓ Match</v>
      </c>
    </row>
    <row r="8" spans="2:6" ht="30" customHeight="1" x14ac:dyDescent="0.3">
      <c r="B8" s="11" t="s">
        <v>89</v>
      </c>
      <c r="C8" s="12" t="s">
        <v>90</v>
      </c>
      <c r="D8" s="16">
        <f>COUNTIF('Trade Data &amp; Calculations'!G2:G37,"&gt;0")/COUNT('Trade Data &amp; Calculations'!G2:G37)</f>
        <v>0.86111111111111116</v>
      </c>
      <c r="E8" s="18">
        <v>0.86111111111109995</v>
      </c>
      <c r="F8" s="15" t="str">
        <f>IF(E8="← Nalin fills this","⏳ Pending",IF(ABS(D8-E8)&lt;ABS(D8)*0.01+1,"✓ Match","⚠ Check"))</f>
        <v>✓ Match</v>
      </c>
    </row>
    <row r="9" spans="2:6" ht="30" customHeight="1" x14ac:dyDescent="0.3">
      <c r="B9" s="11" t="s">
        <v>91</v>
      </c>
      <c r="C9" s="12" t="s">
        <v>92</v>
      </c>
      <c r="D9" s="13">
        <f>MIN('Trade Data &amp; Calculations'!J2:J37)</f>
        <v>-31212.5</v>
      </c>
      <c r="E9" s="14">
        <v>-31212.5</v>
      </c>
      <c r="F9" s="15" t="str">
        <f>IF(E9="← Nalin fills this","⏳ Pending",IF(ABS(D9-E9)&lt;ABS(D9)*0.01+1,"✓ Match","⚠ Check"))</f>
        <v>✓ Match</v>
      </c>
    </row>
    <row r="10" spans="2:6" ht="30" customHeight="1" x14ac:dyDescent="0.3">
      <c r="B10" s="11" t="s">
        <v>93</v>
      </c>
      <c r="C10" s="12" t="s">
        <v>94</v>
      </c>
      <c r="D10" s="17">
        <f>(AVERAGE('Trade Data &amp; Calculations'!K2:K37)/STDEV('Trade Data &amp; Calculations'!K2:K37))*SQRT(12)</f>
        <v>3.1753630809710862</v>
      </c>
      <c r="E10" s="14">
        <v>3.1753556251530699</v>
      </c>
      <c r="F10" s="15" t="str">
        <f>IF(E10="← Nalin fills this","⏳ Pending",IF(ABS(D10-E10)&lt;ABS(D10)*0.01+1,"✓ Match","⚠ Check"))</f>
        <v>✓ Match</v>
      </c>
    </row>
    <row r="11" spans="2:6" ht="30" customHeight="1" x14ac:dyDescent="0.3">
      <c r="B11" s="11" t="s">
        <v>95</v>
      </c>
      <c r="C11" s="12" t="s">
        <v>96</v>
      </c>
      <c r="D11" s="13">
        <f>AVERAGE('Trade Data &amp; Calculations'!G2:G37)</f>
        <v>25375.847222222223</v>
      </c>
      <c r="E11" s="14">
        <v>25375.847222222201</v>
      </c>
      <c r="F11" s="15" t="str">
        <f>IF(E11="← Nalin fills this","⏳ Pending",IF(ABS(D11-E11)&lt;ABS(D11)*0.01+1,"✓ Match","⚠ Check"))</f>
        <v>✓ Match</v>
      </c>
    </row>
    <row r="13" spans="2:6" x14ac:dyDescent="0.3">
      <c r="B13" s="20"/>
      <c r="C13" s="20"/>
      <c r="D13" s="20"/>
      <c r="E13" s="20"/>
      <c r="F13" s="20"/>
    </row>
  </sheetData>
  <mergeCells count="1">
    <mergeCell ref="B13:F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 Data &amp; Calculations</vt:lpstr>
      <vt:lpstr>Summary &amp; Cross-Check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Shivam Goyal</cp:lastModifiedBy>
  <cp:revision>0</cp:revision>
  <dcterms:created xsi:type="dcterms:W3CDTF">2026-06-04T08:10:39Z</dcterms:created>
  <dcterms:modified xsi:type="dcterms:W3CDTF">2026-06-30T10:57:00Z</dcterms:modified>
  <dc:language>en-US</dc:language>
</cp:coreProperties>
</file>